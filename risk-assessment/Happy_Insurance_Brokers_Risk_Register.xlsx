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" sheetId="2" state="visible" r:id="rId4"/>
    <sheet name="ISO 27001 Mapping" sheetId="3" state="visible" r:id="rId5"/>
  </sheets>
  <definedNames>
    <definedName function="false" hidden="true" localSheetId="2" name="_xlnm._FilterDatabase" vbProcedure="false">'ISO 27001 Mapping'!$A$4:$H$18</definedName>
    <definedName function="false" hidden="true" localSheetId="0" name="_xlnm._FilterDatabase" vbProcedure="false">'Risk Register'!$A$4:$O$18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<sst xmlns="http://schemas.openxmlformats.org/spreadsheetml/2006/main" count="357" uniqueCount="252">
  <si>
    <t xml:space="preserve">Happy Insurance Brokers — Risk Register</t>
  </si>
  <si>
    <t xml:space="preserve">Fictional short-term insurance brokerage (FSP) | FAIS / POPIA / TCF scope | Prepared: August 2026 | Reviewed by: Compliance Officer</t>
  </si>
  <si>
    <t xml:space="preserve">Risk ID</t>
  </si>
  <si>
    <t xml:space="preserve">Asset</t>
  </si>
  <si>
    <t xml:space="preserve">Asset Category</t>
  </si>
  <si>
    <t xml:space="preserve">Threat</t>
  </si>
  <si>
    <t xml:space="preserve">Vulnerability</t>
  </si>
  <si>
    <t xml:space="preserve">Risk Description</t>
  </si>
  <si>
    <t xml:space="preserve">Existing Controls</t>
  </si>
  <si>
    <t xml:space="preserve">Likelihood (1-5)</t>
  </si>
  <si>
    <t xml:space="preserve">Impact (1-5)</t>
  </si>
  <si>
    <t xml:space="preserve">Risk Score</t>
  </si>
  <si>
    <t xml:space="preserve">Risk Rating</t>
  </si>
  <si>
    <t xml:space="preserve">Recommended Controls</t>
  </si>
  <si>
    <t xml:space="preserve">Control Type</t>
  </si>
  <si>
    <t xml:space="preserve">Risk Owner</t>
  </si>
  <si>
    <t xml:space="preserve">Framework Reference</t>
  </si>
  <si>
    <t xml:space="preserve">R1</t>
  </si>
  <si>
    <t xml:space="preserve">Client CRM (client PII: ID numbers, contact &amp; policy data)</t>
  </si>
  <si>
    <t xml:space="preserve">Information / Systems</t>
  </si>
  <si>
    <t xml:space="preserve">External attacker – phishing / credential theft</t>
  </si>
  <si>
    <t xml:space="preserve">No multi-factor authentication on CRM; limited staff security awareness training</t>
  </si>
  <si>
    <t xml:space="preserve">A phishing email exploiting untrained staff could grant unauthorised access to the CRM, exposing client PII and triggering a POPIA breach.</t>
  </si>
  <si>
    <t xml:space="preserve">Basic username/password login; annual induction covers POPIA in general terms only</t>
  </si>
  <si>
    <t xml:space="preserve">Enforce MFA on all CRM accounts; deliver quarterly phishing-simulation and security awareness training; enable login/access alerting</t>
  </si>
  <si>
    <t xml:space="preserve">Preventive</t>
  </si>
  <si>
    <t xml:space="preserve">IT Manager</t>
  </si>
  <si>
    <t xml:space="preserve">POPIA s19 (security safeguards); NIST CSF - Protect (PR.AC)</t>
  </si>
  <si>
    <t xml:space="preserve">R2</t>
  </si>
  <si>
    <t xml:space="preserve">Policy administration system &amp; file server</t>
  </si>
  <si>
    <t xml:space="preserve">Systems</t>
  </si>
  <si>
    <t xml:space="preserve">Ransomware</t>
  </si>
  <si>
    <t xml:space="preserve">Outdated OS/application patching; no endpoint detection &amp; response (EDR) tool</t>
  </si>
  <si>
    <t xml:space="preserve">A ransomware attack exploiting unpatched systems could encrypt policy records, halting claims and new business processing.</t>
  </si>
  <si>
    <t xml:space="preserve">Basic antivirus; manual, infrequent patching</t>
  </si>
  <si>
    <t xml:space="preserve">Implement centralised patch management (30-day SLA); deploy EDR; maintain isolated offline backups tested quarterly</t>
  </si>
  <si>
    <t xml:space="preserve">Preventive / Corrective</t>
  </si>
  <si>
    <t xml:space="preserve">NIST CSF - Protect (PR.IP) &amp; Recover (RC.RP)</t>
  </si>
  <si>
    <t xml:space="preserve">R3</t>
  </si>
  <si>
    <t xml:space="preserve">Staff user accounts (CRM, email, policy system)</t>
  </si>
  <si>
    <t xml:space="preserve">Account compromise / brute force</t>
  </si>
  <si>
    <t xml:space="preserve">Weak password policy; shared/generic logins in some branches</t>
  </si>
  <si>
    <t xml:space="preserve">Weak credentials could allow an attacker to compromise a staff account and move laterally across client-facing systems.</t>
  </si>
  <si>
    <t xml:space="preserve">8-character minimum password policy, not enforced technically</t>
  </si>
  <si>
    <t xml:space="preserve">Enforce strong password policy via Active Directory/Group Policy; eliminate shared logins; roll out MFA (shared control with R1)</t>
  </si>
  <si>
    <t xml:space="preserve">NIST CSF - Protect (PR.AC-1)</t>
  </si>
  <si>
    <t xml:space="preserve">R4</t>
  </si>
  <si>
    <t xml:space="preserve">Client policy &amp; claims records (digital)</t>
  </si>
  <si>
    <t xml:space="preserve">Information</t>
  </si>
  <si>
    <t xml:space="preserve">Hardware failure / fire / theft of server</t>
  </si>
  <si>
    <t xml:space="preserve">No offsite or cloud backup; single on-premise server</t>
  </si>
  <si>
    <t xml:space="preserve">Loss of the on-premise server without an offsite backup would result in permanent loss of client policy and claims history.</t>
  </si>
  <si>
    <t xml:space="preserve">Local backup to an external drive, performed ad hoc</t>
  </si>
  <si>
    <t xml:space="preserve">Implement automated, encrypted daily backups to a cloud provider; run quarterly restore tests; document a data backup standard</t>
  </si>
  <si>
    <t xml:space="preserve">Corrective</t>
  </si>
  <si>
    <t xml:space="preserve">ISO 27001 A.8.13 (Backup); POPIA s19</t>
  </si>
  <si>
    <t xml:space="preserve">R5</t>
  </si>
  <si>
    <t xml:space="preserve">Client personal information (all systems &amp; paper files)</t>
  </si>
  <si>
    <t xml:space="preserve">Information / Regulatory</t>
  </si>
  <si>
    <t xml:space="preserve">Regulatory non-compliance (POPIA)</t>
  </si>
  <si>
    <t xml:space="preserve">No documented data retention or secure disposal policy; no appointed Information Officer duties formalised</t>
  </si>
  <si>
    <t xml:space="preserve">Retaining client data indefinitely without a lawful basis or secure disposal process breaches POPIA's retention limitation condition and exposes the firm to Information Regulator enforcement.</t>
  </si>
  <si>
    <t xml:space="preserve">Verbal understanding of POPIA among senior staff; no written policy</t>
  </si>
  <si>
    <t xml:space="preserve">Draft and implement a POPIA data retention &amp; disposal policy; formally register Information Officer duties; conduct a data mapping exercise</t>
  </si>
  <si>
    <t xml:space="preserve">Compliance Officer</t>
  </si>
  <si>
    <t xml:space="preserve">POPIA s14 (retention); Information Regulator guidance</t>
  </si>
  <si>
    <t xml:space="preserve">R6</t>
  </si>
  <si>
    <t xml:space="preserve">Advice given to clients (sales &amp; broking staff)</t>
  </si>
  <si>
    <t xml:space="preserve">People / Regulatory</t>
  </si>
  <si>
    <t xml:space="preserve">Regulatory non-compliance (FAIS)</t>
  </si>
  <si>
    <t xml:space="preserve">No formal tracking of RE5 status or Continuous Professional Development (CPD) hours</t>
  </si>
  <si>
    <t xml:space="preserve">A representative operating with a lapsed RE5 or incomplete CPD could render advice that is not FAIS-compliant, risking FSCA sanction and client harm.</t>
  </si>
  <si>
    <t xml:space="preserve">RE5 checked at hiring only; no ongoing tracking</t>
  </si>
  <si>
    <t xml:space="preserve">Implement a CPD/RE5 tracking register with renewal alerts; annual internal FAIS compliance audit; supervision sign-off for new advisers</t>
  </si>
  <si>
    <t xml:space="preserve">Detective / Preventive</t>
  </si>
  <si>
    <t xml:space="preserve">FAIS Act (Fit &amp; Proper requirements); FSCA CPD Cycle</t>
  </si>
  <si>
    <t xml:space="preserve">R7</t>
  </si>
  <si>
    <t xml:space="preserve">Client sales &amp; advice process</t>
  </si>
  <si>
    <t xml:space="preserve">Mis-selling / unsuitable advice</t>
  </si>
  <si>
    <t xml:space="preserve">Inconsistent product training; no structured needs-analysis process enforced</t>
  </si>
  <si>
    <t xml:space="preserve">Inadequately trained consultants recommending unsuitable cover could breach Treating Customers Fairly outcomes and drive complaints or FSCA action.</t>
  </si>
  <si>
    <t xml:space="preserve">Informal on-the-job product training</t>
  </si>
  <si>
    <t xml:space="preserve">Structured product &amp; needs-analysis training programme; TCF outcome monitoring via complaints and lapse-rate data; call/quality audits</t>
  </si>
  <si>
    <t xml:space="preserve">Preventive / Detective</t>
  </si>
  <si>
    <t xml:space="preserve">TCF Outcomes 1-6 (FSCA)</t>
  </si>
  <si>
    <t xml:space="preserve">R8</t>
  </si>
  <si>
    <t xml:space="preserve">Staff laptops (used off-site by consultants)</t>
  </si>
  <si>
    <t xml:space="preserve">Hardware</t>
  </si>
  <si>
    <t xml:space="preserve">Theft or loss of device</t>
  </si>
  <si>
    <t xml:space="preserve">No full-disk encryption; no mobile device management (MDM); no remote-wipe capability</t>
  </si>
  <si>
    <t xml:space="preserve">A stolen, unencrypted laptop containing cached client data would expose PII outside the firm's control with no ability to remotely wipe it.</t>
  </si>
  <si>
    <t xml:space="preserve">Laptop login password only</t>
  </si>
  <si>
    <t xml:space="preserve">Roll out full-disk encryption (BitLocker) and an MDM solution with remote wipe; enforce automatic screen-lock and device registration</t>
  </si>
  <si>
    <t xml:space="preserve">POPIA s19; ISO 27001 A.8.1</t>
  </si>
  <si>
    <t xml:space="preserve">R9</t>
  </si>
  <si>
    <t xml:space="preserve">Office operations &amp; call centre availability</t>
  </si>
  <si>
    <t xml:space="preserve">Physical / Systems</t>
  </si>
  <si>
    <t xml:space="preserve">Power outage (load shedding) / utility failure</t>
  </si>
  <si>
    <t xml:space="preserve">No uninterruptible power supply (UPS) or generator; no documented business continuity plan</t>
  </si>
  <si>
    <t xml:space="preserve">Extended power outages could halt claims processing and client communication, breaching service-level commitments and TCF fair-outcome obligations.</t>
  </si>
  <si>
    <t xml:space="preserve">Informal manual workarounds; no backup power</t>
  </si>
  <si>
    <t xml:space="preserve">Install UPS for critical systems and a backup generator; document and test a Business Continuity Plan (BCP) covering outages of 4+ hours</t>
  </si>
  <si>
    <t xml:space="preserve">Operations Manager</t>
  </si>
  <si>
    <t xml:space="preserve">ISO 22301 principles; TCF Outcome 5 (service standards)</t>
  </si>
  <si>
    <t xml:space="preserve">R10</t>
  </si>
  <si>
    <t xml:space="preserve">Claims payment process</t>
  </si>
  <si>
    <t xml:space="preserve">People / Financial</t>
  </si>
  <si>
    <t xml:space="preserve">Insider fraud</t>
  </si>
  <si>
    <t xml:space="preserve">No segregation of duties between claims assessment and payment approval; limited transaction monitoring</t>
  </si>
  <si>
    <t xml:space="preserve">A claims handler could manipulate or approve fraudulent payouts without independent review, resulting in direct financial loss.</t>
  </si>
  <si>
    <t xml:space="preserve">Manager spot-checks on an ad hoc basis</t>
  </si>
  <si>
    <t xml:space="preserve">Enforce segregation of duties (assess vs. approve vs. pay); implement automated transaction monitoring and monthly reconciliation review</t>
  </si>
  <si>
    <t xml:space="preserve">Claims Manager</t>
  </si>
  <si>
    <t xml:space="preserve">Internal control best practice; FAIS Act (operational ability)</t>
  </si>
  <si>
    <t xml:space="preserve">R11</t>
  </si>
  <si>
    <t xml:space="preserve">Policy administration SaaS vendor</t>
  </si>
  <si>
    <t xml:space="preserve">Third-Party / Systems</t>
  </si>
  <si>
    <t xml:space="preserve">Vendor data breach</t>
  </si>
  <si>
    <t xml:space="preserve">No formal vendor due-diligence process; contract lacks explicit security/breach-notification clauses</t>
  </si>
  <si>
    <t xml:space="preserve">A breach at the third-party SaaS provider hosting policy data would expose client information the firm remains legally accountable for under POPIA.</t>
  </si>
  <si>
    <t xml:space="preserve">Standard vendor service agreement, security clauses not reviewed</t>
  </si>
  <si>
    <t xml:space="preserve">Conduct annual vendor security due diligence; add contractual breach-notification and audit-right clauses; consider cyber liability insurance</t>
  </si>
  <si>
    <t xml:space="preserve">POPIA s20-21 (Operator obligations)</t>
  </si>
  <si>
    <t xml:space="preserve">R12</t>
  </si>
  <si>
    <t xml:space="preserve">Email system / client payment instructions</t>
  </si>
  <si>
    <t xml:space="preserve">Systems / Financial</t>
  </si>
  <si>
    <t xml:space="preserve">Business Email Compromise (BEC) / invoice fraud</t>
  </si>
  <si>
    <t xml:space="preserve">No email authentication (SPF/DKIM/DMARC); no callback verification for banking-detail changes</t>
  </si>
  <si>
    <t xml:space="preserve">A spoofed email requesting a change of banking details could redirect a client premium or claim payout to a fraudster's account.</t>
  </si>
  <si>
    <t xml:space="preserve">Staff asked to 'double-check' suspicious emails informally</t>
  </si>
  <si>
    <t xml:space="preserve">Implement SPF/DKIM/DMARC email authentication; mandate telephonic callback verification for any banking detail change</t>
  </si>
  <si>
    <t xml:space="preserve">NIST CSF - Protect (PR.DS); industry BEC guidance</t>
  </si>
  <si>
    <t xml:space="preserve">R13</t>
  </si>
  <si>
    <t xml:space="preserve">Brand &amp; public reputation</t>
  </si>
  <si>
    <t xml:space="preserve">Reputation</t>
  </si>
  <si>
    <t xml:space="preserve">Negative publicity / social media complaints</t>
  </si>
  <si>
    <t xml:space="preserve">No documented social media or complaints-escalation policy</t>
  </si>
  <si>
    <t xml:space="preserve">A mishandled public complaint on social media could escalate reputational damage and attract regulatory attention to underlying service failures.</t>
  </si>
  <si>
    <t xml:space="preserve">Complaints handled informally by branch staff</t>
  </si>
  <si>
    <t xml:space="preserve">Implement a documented complaints-handling and social media escalation policy aligned to TCF; assign a designated response owner</t>
  </si>
  <si>
    <t xml:space="preserve">TCF Outcome 6 (complaints handling)</t>
  </si>
  <si>
    <t xml:space="preserve">R14</t>
  </si>
  <si>
    <t xml:space="preserve">Compliance function continuity</t>
  </si>
  <si>
    <t xml:space="preserve">People</t>
  </si>
  <si>
    <t xml:space="preserve">Key-person unavailability (resignation, illness)</t>
  </si>
  <si>
    <t xml:space="preserve">Single Compliance Officer; processes not documented; no deputy or succession plan</t>
  </si>
  <si>
    <t xml:space="preserve">The sudden unavailability of the sole Compliance Officer would leave FAIS/POPIA obligations unmonitored, risking regulatory breaches going undetected.</t>
  </si>
  <si>
    <t xml:space="preserve">None – single point of failure</t>
  </si>
  <si>
    <t xml:space="preserve">Document key compliance procedures (SOPs); cross-train a deputy compliance resource; formalise a succession plan</t>
  </si>
  <si>
    <t xml:space="preserve">Managing Director</t>
  </si>
  <si>
    <t xml:space="preserve">FAIS Act (Key Individual requirements)</t>
  </si>
  <si>
    <t xml:space="preserve">Risk Rating Legend:</t>
  </si>
  <si>
    <t xml:space="preserve">Low (1-4)</t>
  </si>
  <si>
    <t xml:space="preserve">Medium (5-9)</t>
  </si>
  <si>
    <t xml:space="preserve">High (10-15)</t>
  </si>
  <si>
    <t xml:space="preserve">Critical (16-25)</t>
  </si>
  <si>
    <t xml:space="preserve">Note: Risk Score = Likelihood x Impact (both rated 1-5). Ratings and fills recalculate automatically from Likelihood/Impact inputs.</t>
  </si>
  <si>
    <t xml:space="preserve">Happy Insurance Brokers — Risk Matrix (5x5 Heat Map)</t>
  </si>
  <si>
    <t xml:space="preserve">Risk IDs plotted by Likelihood (x-axis) and Impact (y-axis) - Risk Score = Likelihood x Impact. Mirrors Risk Register as of August 2026.</t>
  </si>
  <si>
    <t xml:space="preserve">Impact \ Likelihood</t>
  </si>
  <si>
    <t xml:space="preserve">1
Rare</t>
  </si>
  <si>
    <t xml:space="preserve">2
Unlikely</t>
  </si>
  <si>
    <t xml:space="preserve">3
Possible</t>
  </si>
  <si>
    <t xml:space="preserve">4
Likely</t>
  </si>
  <si>
    <t xml:space="preserve">5
Almost
Certain</t>
  </si>
  <si>
    <t xml:space="preserve">5
Severe</t>
  </si>
  <si>
    <t xml:space="preserve">4
Major</t>
  </si>
  <si>
    <t xml:space="preserve">R10
R11</t>
  </si>
  <si>
    <t xml:space="preserve">R2
R3
R6
R8
R12</t>
  </si>
  <si>
    <t xml:space="preserve">3
Moderate</t>
  </si>
  <si>
    <t xml:space="preserve">2
Minor</t>
  </si>
  <si>
    <t xml:space="preserve">1
Negligible</t>
  </si>
  <si>
    <t xml:space="preserve">Risk ID Key:</t>
  </si>
  <si>
    <t xml:space="preserve">Client CRM data breach (phishing / no MFA)</t>
  </si>
  <si>
    <t xml:space="preserve">Ransomware on policy admin system</t>
  </si>
  <si>
    <t xml:space="preserve">Weak passwords / no MFA - account compromise</t>
  </si>
  <si>
    <t xml:space="preserve">Loss of data - no offsite backups</t>
  </si>
  <si>
    <t xml:space="preserve">POPIA non-compliance - no retention/disposal policy</t>
  </si>
  <si>
    <t xml:space="preserve">FAIS non-compliance - RE5/CPD not tracked</t>
  </si>
  <si>
    <t xml:space="preserve">TCF breach - mis-selling / inadequate training</t>
  </si>
  <si>
    <t xml:space="preserve">Theft of unencrypted laptops</t>
  </si>
  <si>
    <t xml:space="preserve">Load shedding / power outage - no BCP</t>
  </si>
  <si>
    <t xml:space="preserve">Insider fraud - claims payment manipulation</t>
  </si>
  <si>
    <t xml:space="preserve">Third-party SaaS vendor breach</t>
  </si>
  <si>
    <t xml:space="preserve">Business Email Compromise / invoice fraud</t>
  </si>
  <si>
    <t xml:space="preserve">Reputational risk - social media complaints</t>
  </si>
  <si>
    <t xml:space="preserve">Key-person risk - single Compliance Officer</t>
  </si>
  <si>
    <t xml:space="preserve">Note: R2, R3, R6, R8 and R12 all score Likelihood 3 x Impact 4 = 12 (High) and share one grid cell for space; see Risk Register for individual detail on each.</t>
  </si>
  <si>
    <t xml:space="preserve">Happy Insurance Brokers — ISO/IEC 27001:2022 Annex A Control Mapping</t>
  </si>
  <si>
    <t xml:space="preserve">Maps each identified risk to the Annex A:2022 control(s) that treat it. Recommended Controls (Risk Register) are the implementation detail; this sheet shows the framework alignment.</t>
  </si>
  <si>
    <t xml:space="preserve">Risk (Summary)</t>
  </si>
  <si>
    <t xml:space="preserve">Annex A Theme</t>
  </si>
  <si>
    <t xml:space="preserve">Control ID(s)</t>
  </si>
  <si>
    <t xml:space="preserve">Control Name(s)</t>
  </si>
  <si>
    <t xml:space="preserve">How It Treats the Risk</t>
  </si>
  <si>
    <t xml:space="preserve">Implementation Status</t>
  </si>
  <si>
    <t xml:space="preserve">Client CRM data breach via phishing (no MFA)</t>
  </si>
  <si>
    <t xml:space="preserve">Technological</t>
  </si>
  <si>
    <t xml:space="preserve">A.8.5, A.5.15</t>
  </si>
  <si>
    <t xml:space="preserve">Secure Authentication; Access Control</t>
  </si>
  <si>
    <t xml:space="preserve">MFA and role-based access control directly reduce likelihood of unauthorised CRM access via a compromised credential.</t>
  </si>
  <si>
    <t xml:space="preserve">Not Implemented</t>
  </si>
  <si>
    <t xml:space="preserve">Critical</t>
  </si>
  <si>
    <t xml:space="preserve">Ransomware on policy admin system / file server</t>
  </si>
  <si>
    <t xml:space="preserve">A.8.7, A.8.13, A.8.8</t>
  </si>
  <si>
    <t xml:space="preserve">Protection Against Malware; Backup; Management of Technical Vulnerabilities</t>
  </si>
  <si>
    <t xml:space="preserve">Malware protection and patching reduce the likelihood of infection; tested backups reduce impact by enabling recovery without paying ransom.</t>
  </si>
  <si>
    <t xml:space="preserve">Partially Implemented</t>
  </si>
  <si>
    <t xml:space="preserve">High</t>
  </si>
  <si>
    <t xml:space="preserve">Account compromise - weak passwords, no MFA</t>
  </si>
  <si>
    <t xml:space="preserve">A.5.17, A.8.5</t>
  </si>
  <si>
    <t xml:space="preserve">Authentication Information; Secure Authentication</t>
  </si>
  <si>
    <t xml:space="preserve">Enforced password standards and MFA close the credential-based entry point exploited in account takeover.</t>
  </si>
  <si>
    <t xml:space="preserve">Loss of client data - no offsite backups</t>
  </si>
  <si>
    <t xml:space="preserve">A.8.13</t>
  </si>
  <si>
    <t xml:space="preserve">Backup</t>
  </si>
  <si>
    <t xml:space="preserve">Automated, tested offsite/cloud backups ensure data can be restored after hardware failure, fire, or theft.</t>
  </si>
  <si>
    <t xml:space="preserve">Organizational</t>
  </si>
  <si>
    <t xml:space="preserve">A.5.33, A.5.34, A.8.10</t>
  </si>
  <si>
    <t xml:space="preserve">Protection of Records; Privacy and Protection of PII; Information Deletion</t>
  </si>
  <si>
    <t xml:space="preserve">A documented retention schedule and secure disposal process satisfy both ISO record-keeping controls and POPIA's retention-limitation condition.</t>
  </si>
  <si>
    <t xml:space="preserve">A.6.3</t>
  </si>
  <si>
    <t xml:space="preserve">Information Security Awareness, Education and Training</t>
  </si>
  <si>
    <t xml:space="preserve">A tracked competence/training programme (extended here to RE5/CPD) evidences ongoing fitness of staff providing advice.</t>
  </si>
  <si>
    <t xml:space="preserve">A.6.3, A.5.31</t>
  </si>
  <si>
    <t xml:space="preserve">Awareness &amp; Training; Legal, Statutory, Regulatory and Contractual Requirements</t>
  </si>
  <si>
    <t xml:space="preserve">Structured product training plus monitoring against regulatory requirements reduces the risk of unsuitable advice reaching clients.</t>
  </si>
  <si>
    <t xml:space="preserve">Medium</t>
  </si>
  <si>
    <t xml:space="preserve">Physical</t>
  </si>
  <si>
    <t xml:space="preserve">A.7.9, A.8.24</t>
  </si>
  <si>
    <t xml:space="preserve">Security of Assets Off-Premises; Use of Cryptography</t>
  </si>
  <si>
    <t xml:space="preserve">Full-disk encryption protects data confidentiality if a device is lost or stolen; asset-handling rules reduce the chance of loss in the first place.</t>
  </si>
  <si>
    <t xml:space="preserve">A.5.29, A.5.30, A.7.11</t>
  </si>
  <si>
    <t xml:space="preserve">Information Security During Disruption; ICT Readiness for Business Continuity; Supporting Utilities</t>
  </si>
  <si>
    <t xml:space="preserve">A documented BCP plus backup power (UPS/generator) maintains critical operations through planned or unplanned outages.</t>
  </si>
  <si>
    <t xml:space="preserve">A.5.3, A.8.16</t>
  </si>
  <si>
    <t xml:space="preserve">Segregation of Duties; Monitoring Activities</t>
  </si>
  <si>
    <t xml:space="preserve">Separating claims assessment from payment approval, backed by transaction monitoring, prevents one individual from originating and approving fraud undetected.</t>
  </si>
  <si>
    <t xml:space="preserve">A.5.19, A.5.20, A.5.22</t>
  </si>
  <si>
    <t xml:space="preserve">Information Security in Supplier Relationships; Addressing Security in Supplier Agreements; Monitoring of Supplier Services</t>
  </si>
  <si>
    <t xml:space="preserve">Due diligence, contractual security clauses, and ongoing monitoring extend the firm's control environment to data held by the vendor.</t>
  </si>
  <si>
    <t xml:space="preserve">A.8.20, A.5.14</t>
  </si>
  <si>
    <t xml:space="preserve">Networks Security; Information Transfer</t>
  </si>
  <si>
    <t xml:space="preserve">Email authentication (SPF/DKIM/DMARC) and a verified transfer process for payment instructions prevent spoofed requests from being actioned.</t>
  </si>
  <si>
    <t xml:space="preserve">A.5.24, A.5.31</t>
  </si>
  <si>
    <t xml:space="preserve">Incident Management Planning and Preparation; Legal, Statutory, Regulatory and Contractual Requirements</t>
  </si>
  <si>
    <t xml:space="preserve">A documented complaints/escalation process ensures public complaints are handled consistently and don't compound into a wider incident.</t>
  </si>
  <si>
    <t xml:space="preserve">A.5.2, A.5.30</t>
  </si>
  <si>
    <t xml:space="preserve">Information Security Roles and Responsibilities; ICT Readiness for Business Continuity</t>
  </si>
  <si>
    <t xml:space="preserve">Documented procedures and a cross-trained deputy ensure compliance oversight continues if the sole Compliance Officer is unavailable.</t>
  </si>
  <si>
    <t xml:space="preserve">Annex A Theme Legend:</t>
  </si>
  <si>
    <t xml:space="preserve">Note: Control references follow ISO/IEC 27001:2022 Annex A (93 controls across four themes: Organizational, People, Physical, Technological). Implementation Status reflects current state before the Risk Treatment Plan is executed; update as controls are implemented and verified.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</si>
</sst>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2F2F2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F9999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42"/>
    <col collapsed="false" customWidth="true" hidden="false" outlineLevel="0" max="7" min="7" style="1" width="28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40"/>
    <col collapsed="false" customWidth="true" hidden="false" outlineLevel="0" max="14" min="13" style="1" width="16"/>
    <col collapsed="false" customWidth="true" hidden="false" outlineLevel="0" max="15" min="15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60" hidden="false" customHeight="tru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6" t="n">
        <v>4</v>
      </c>
      <c r="I5" s="6" t="n">
        <v>5</v>
      </c>
      <c r="J5" s="7" t="n">
        <f aca="false">H5*I5</f>
        <v>20</v>
      </c>
      <c r="K5" s="7" t="str">
        <f aca="false">IF(J5&gt;=16,"Critical",IF(J5&gt;=10,"High",IF(J5&gt;=5,"Medium","Low")))</f>
        <v>Critical</v>
      </c>
      <c r="L5" s="5" t="s">
        <v>24</v>
      </c>
      <c r="M5" s="5" t="s">
        <v>25</v>
      </c>
      <c r="N5" s="5" t="s">
        <v>26</v>
      </c>
      <c r="O5" s="5" t="s">
        <v>27</v>
      </c>
    </row>
    <row r="6" customFormat="false" ht="60" hidden="false" customHeight="true" outlineLevel="0" collapsed="false">
      <c r="A6" s="8" t="s">
        <v>28</v>
      </c>
      <c r="B6" s="8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34</v>
      </c>
      <c r="H6" s="9" t="n">
        <v>3</v>
      </c>
      <c r="I6" s="9" t="n">
        <v>4</v>
      </c>
      <c r="J6" s="10" t="n">
        <f aca="false">H6*I6</f>
        <v>12</v>
      </c>
      <c r="K6" s="10" t="str">
        <f aca="false">IF(J6&gt;=16,"Critical",IF(J6&gt;=10,"High",IF(J6&gt;=5,"Medium","Low")))</f>
        <v>High</v>
      </c>
      <c r="L6" s="8" t="s">
        <v>35</v>
      </c>
      <c r="M6" s="8" t="s">
        <v>36</v>
      </c>
      <c r="N6" s="8" t="s">
        <v>26</v>
      </c>
      <c r="O6" s="8" t="s">
        <v>37</v>
      </c>
    </row>
    <row r="7" customFormat="false" ht="60" hidden="false" customHeight="true" outlineLevel="0" collapsed="false">
      <c r="A7" s="5" t="s">
        <v>38</v>
      </c>
      <c r="B7" s="5" t="s">
        <v>39</v>
      </c>
      <c r="C7" s="5" t="s">
        <v>30</v>
      </c>
      <c r="D7" s="5" t="s">
        <v>40</v>
      </c>
      <c r="E7" s="5" t="s">
        <v>41</v>
      </c>
      <c r="F7" s="5" t="s">
        <v>42</v>
      </c>
      <c r="G7" s="5" t="s">
        <v>43</v>
      </c>
      <c r="H7" s="6" t="n">
        <v>3</v>
      </c>
      <c r="I7" s="6" t="n">
        <v>4</v>
      </c>
      <c r="J7" s="10" t="n">
        <f aca="false">H7*I7</f>
        <v>12</v>
      </c>
      <c r="K7" s="10" t="str">
        <f aca="false">IF(J7&gt;=16,"Critical",IF(J7&gt;=10,"High",IF(J7&gt;=5,"Medium","Low")))</f>
        <v>High</v>
      </c>
      <c r="L7" s="5" t="s">
        <v>44</v>
      </c>
      <c r="M7" s="5" t="s">
        <v>25</v>
      </c>
      <c r="N7" s="5" t="s">
        <v>26</v>
      </c>
      <c r="O7" s="5" t="s">
        <v>45</v>
      </c>
    </row>
    <row r="8" customFormat="false" ht="60" hidden="false" customHeight="true" outlineLevel="0" collapsed="false">
      <c r="A8" s="8" t="s">
        <v>46</v>
      </c>
      <c r="B8" s="8" t="s">
        <v>47</v>
      </c>
      <c r="C8" s="8" t="s">
        <v>48</v>
      </c>
      <c r="D8" s="8" t="s">
        <v>49</v>
      </c>
      <c r="E8" s="8" t="s">
        <v>50</v>
      </c>
      <c r="F8" s="8" t="s">
        <v>51</v>
      </c>
      <c r="G8" s="8" t="s">
        <v>52</v>
      </c>
      <c r="H8" s="9" t="n">
        <v>2</v>
      </c>
      <c r="I8" s="9" t="n">
        <v>5</v>
      </c>
      <c r="J8" s="10" t="n">
        <f aca="false">H8*I8</f>
        <v>10</v>
      </c>
      <c r="K8" s="10" t="str">
        <f aca="false">IF(J8&gt;=16,"Critical",IF(J8&gt;=10,"High",IF(J8&gt;=5,"Medium","Low")))</f>
        <v>High</v>
      </c>
      <c r="L8" s="8" t="s">
        <v>53</v>
      </c>
      <c r="M8" s="8" t="s">
        <v>54</v>
      </c>
      <c r="N8" s="8" t="s">
        <v>26</v>
      </c>
      <c r="O8" s="8" t="s">
        <v>55</v>
      </c>
    </row>
    <row r="9" customFormat="false" ht="60" hidden="false" customHeight="true" outlineLevel="0" collapsed="false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6" t="n">
        <v>4</v>
      </c>
      <c r="I9" s="6" t="n">
        <v>4</v>
      </c>
      <c r="J9" s="7" t="n">
        <f aca="false">H9*I9</f>
        <v>16</v>
      </c>
      <c r="K9" s="7" t="str">
        <f aca="false">IF(J9&gt;=16,"Critical",IF(J9&gt;=10,"High",IF(J9&gt;=5,"Medium","Low")))</f>
        <v>Critical</v>
      </c>
      <c r="L9" s="5" t="s">
        <v>63</v>
      </c>
      <c r="M9" s="5" t="s">
        <v>25</v>
      </c>
      <c r="N9" s="5" t="s">
        <v>64</v>
      </c>
      <c r="O9" s="5" t="s">
        <v>65</v>
      </c>
    </row>
    <row r="10" customFormat="false" ht="60" hidden="false" customHeight="true" outlineLevel="0" collapsed="false">
      <c r="A10" s="8" t="s">
        <v>66</v>
      </c>
      <c r="B10" s="8" t="s">
        <v>67</v>
      </c>
      <c r="C10" s="8" t="s">
        <v>68</v>
      </c>
      <c r="D10" s="8" t="s">
        <v>69</v>
      </c>
      <c r="E10" s="8" t="s">
        <v>70</v>
      </c>
      <c r="F10" s="8" t="s">
        <v>71</v>
      </c>
      <c r="G10" s="8" t="s">
        <v>72</v>
      </c>
      <c r="H10" s="9" t="n">
        <v>3</v>
      </c>
      <c r="I10" s="9" t="n">
        <v>4</v>
      </c>
      <c r="J10" s="10" t="n">
        <f aca="false">H10*I10</f>
        <v>12</v>
      </c>
      <c r="K10" s="10" t="str">
        <f aca="false">IF(J10&gt;=16,"Critical",IF(J10&gt;=10,"High",IF(J10&gt;=5,"Medium","Low")))</f>
        <v>High</v>
      </c>
      <c r="L10" s="8" t="s">
        <v>73</v>
      </c>
      <c r="M10" s="8" t="s">
        <v>74</v>
      </c>
      <c r="N10" s="8" t="s">
        <v>64</v>
      </c>
      <c r="O10" s="8" t="s">
        <v>75</v>
      </c>
    </row>
    <row r="11" customFormat="false" ht="60" hidden="false" customHeight="true" outlineLevel="0" collapsed="false">
      <c r="A11" s="5" t="s">
        <v>76</v>
      </c>
      <c r="B11" s="5" t="s">
        <v>77</v>
      </c>
      <c r="C11" s="5" t="s">
        <v>68</v>
      </c>
      <c r="D11" s="5" t="s">
        <v>78</v>
      </c>
      <c r="E11" s="5" t="s">
        <v>79</v>
      </c>
      <c r="F11" s="5" t="s">
        <v>80</v>
      </c>
      <c r="G11" s="5" t="s">
        <v>81</v>
      </c>
      <c r="H11" s="6" t="n">
        <v>3</v>
      </c>
      <c r="I11" s="6" t="n">
        <v>3</v>
      </c>
      <c r="J11" s="11" t="n">
        <f aca="false">H11*I11</f>
        <v>9</v>
      </c>
      <c r="K11" s="11" t="str">
        <f aca="false">IF(J11&gt;=16,"Critical",IF(J11&gt;=10,"High",IF(J11&gt;=5,"Medium","Low")))</f>
        <v>Medium</v>
      </c>
      <c r="L11" s="5" t="s">
        <v>82</v>
      </c>
      <c r="M11" s="5" t="s">
        <v>83</v>
      </c>
      <c r="N11" s="5" t="s">
        <v>64</v>
      </c>
      <c r="O11" s="5" t="s">
        <v>84</v>
      </c>
    </row>
    <row r="12" customFormat="false" ht="60" hidden="false" customHeight="true" outlineLevel="0" collapsed="false">
      <c r="A12" s="8" t="s">
        <v>85</v>
      </c>
      <c r="B12" s="8" t="s">
        <v>86</v>
      </c>
      <c r="C12" s="8" t="s">
        <v>87</v>
      </c>
      <c r="D12" s="8" t="s">
        <v>88</v>
      </c>
      <c r="E12" s="8" t="s">
        <v>89</v>
      </c>
      <c r="F12" s="8" t="s">
        <v>90</v>
      </c>
      <c r="G12" s="8" t="s">
        <v>91</v>
      </c>
      <c r="H12" s="9" t="n">
        <v>3</v>
      </c>
      <c r="I12" s="9" t="n">
        <v>4</v>
      </c>
      <c r="J12" s="10" t="n">
        <f aca="false">H12*I12</f>
        <v>12</v>
      </c>
      <c r="K12" s="10" t="str">
        <f aca="false">IF(J12&gt;=16,"Critical",IF(J12&gt;=10,"High",IF(J12&gt;=5,"Medium","Low")))</f>
        <v>High</v>
      </c>
      <c r="L12" s="8" t="s">
        <v>92</v>
      </c>
      <c r="M12" s="8" t="s">
        <v>25</v>
      </c>
      <c r="N12" s="8" t="s">
        <v>26</v>
      </c>
      <c r="O12" s="8" t="s">
        <v>93</v>
      </c>
    </row>
    <row r="13" customFormat="false" ht="60" hidden="false" customHeight="true" outlineLevel="0" collapsed="false">
      <c r="A13" s="5" t="s">
        <v>94</v>
      </c>
      <c r="B13" s="5" t="s">
        <v>95</v>
      </c>
      <c r="C13" s="5" t="s">
        <v>96</v>
      </c>
      <c r="D13" s="5" t="s">
        <v>97</v>
      </c>
      <c r="E13" s="5" t="s">
        <v>98</v>
      </c>
      <c r="F13" s="5" t="s">
        <v>99</v>
      </c>
      <c r="G13" s="5" t="s">
        <v>100</v>
      </c>
      <c r="H13" s="6" t="n">
        <v>4</v>
      </c>
      <c r="I13" s="6" t="n">
        <v>3</v>
      </c>
      <c r="J13" s="10" t="n">
        <f aca="false">H13*I13</f>
        <v>12</v>
      </c>
      <c r="K13" s="10" t="str">
        <f aca="false">IF(J13&gt;=16,"Critical",IF(J13&gt;=10,"High",IF(J13&gt;=5,"Medium","Low")))</f>
        <v>High</v>
      </c>
      <c r="L13" s="5" t="s">
        <v>101</v>
      </c>
      <c r="M13" s="5" t="s">
        <v>36</v>
      </c>
      <c r="N13" s="5" t="s">
        <v>102</v>
      </c>
      <c r="O13" s="5" t="s">
        <v>103</v>
      </c>
    </row>
    <row r="14" customFormat="false" ht="60" hidden="false" customHeight="true" outlineLevel="0" collapsed="false">
      <c r="A14" s="8" t="s">
        <v>104</v>
      </c>
      <c r="B14" s="8" t="s">
        <v>105</v>
      </c>
      <c r="C14" s="8" t="s">
        <v>106</v>
      </c>
      <c r="D14" s="8" t="s">
        <v>107</v>
      </c>
      <c r="E14" s="8" t="s">
        <v>108</v>
      </c>
      <c r="F14" s="8" t="s">
        <v>109</v>
      </c>
      <c r="G14" s="8" t="s">
        <v>110</v>
      </c>
      <c r="H14" s="9" t="n">
        <v>2</v>
      </c>
      <c r="I14" s="9" t="n">
        <v>4</v>
      </c>
      <c r="J14" s="11" t="n">
        <f aca="false">H14*I14</f>
        <v>8</v>
      </c>
      <c r="K14" s="11" t="str">
        <f aca="false">IF(J14&gt;=16,"Critical",IF(J14&gt;=10,"High",IF(J14&gt;=5,"Medium","Low")))</f>
        <v>Medium</v>
      </c>
      <c r="L14" s="8" t="s">
        <v>111</v>
      </c>
      <c r="M14" s="8" t="s">
        <v>83</v>
      </c>
      <c r="N14" s="8" t="s">
        <v>112</v>
      </c>
      <c r="O14" s="8" t="s">
        <v>113</v>
      </c>
    </row>
    <row r="15" customFormat="false" ht="60" hidden="false" customHeight="true" outlineLevel="0" collapsed="false">
      <c r="A15" s="5" t="s">
        <v>114</v>
      </c>
      <c r="B15" s="5" t="s">
        <v>115</v>
      </c>
      <c r="C15" s="5" t="s">
        <v>116</v>
      </c>
      <c r="D15" s="5" t="s">
        <v>117</v>
      </c>
      <c r="E15" s="5" t="s">
        <v>118</v>
      </c>
      <c r="F15" s="5" t="s">
        <v>119</v>
      </c>
      <c r="G15" s="5" t="s">
        <v>120</v>
      </c>
      <c r="H15" s="6" t="n">
        <v>2</v>
      </c>
      <c r="I15" s="6" t="n">
        <v>4</v>
      </c>
      <c r="J15" s="11" t="n">
        <f aca="false">H15*I15</f>
        <v>8</v>
      </c>
      <c r="K15" s="11" t="str">
        <f aca="false">IF(J15&gt;=16,"Critical",IF(J15&gt;=10,"High",IF(J15&gt;=5,"Medium","Low")))</f>
        <v>Medium</v>
      </c>
      <c r="L15" s="5" t="s">
        <v>121</v>
      </c>
      <c r="M15" s="5" t="s">
        <v>25</v>
      </c>
      <c r="N15" s="5" t="s">
        <v>64</v>
      </c>
      <c r="O15" s="5" t="s">
        <v>122</v>
      </c>
    </row>
    <row r="16" customFormat="false" ht="60" hidden="false" customHeight="true" outlineLevel="0" collapsed="false">
      <c r="A16" s="8" t="s">
        <v>123</v>
      </c>
      <c r="B16" s="8" t="s">
        <v>124</v>
      </c>
      <c r="C16" s="8" t="s">
        <v>125</v>
      </c>
      <c r="D16" s="8" t="s">
        <v>126</v>
      </c>
      <c r="E16" s="8" t="s">
        <v>127</v>
      </c>
      <c r="F16" s="8" t="s">
        <v>128</v>
      </c>
      <c r="G16" s="8" t="s">
        <v>129</v>
      </c>
      <c r="H16" s="9" t="n">
        <v>3</v>
      </c>
      <c r="I16" s="9" t="n">
        <v>4</v>
      </c>
      <c r="J16" s="10" t="n">
        <f aca="false">H16*I16</f>
        <v>12</v>
      </c>
      <c r="K16" s="10" t="str">
        <f aca="false">IF(J16&gt;=16,"Critical",IF(J16&gt;=10,"High",IF(J16&gt;=5,"Medium","Low")))</f>
        <v>High</v>
      </c>
      <c r="L16" s="8" t="s">
        <v>130</v>
      </c>
      <c r="M16" s="8" t="s">
        <v>25</v>
      </c>
      <c r="N16" s="8" t="s">
        <v>26</v>
      </c>
      <c r="O16" s="8" t="s">
        <v>131</v>
      </c>
    </row>
    <row r="17" customFormat="false" ht="60" hidden="false" customHeight="true" outlineLevel="0" collapsed="false">
      <c r="A17" s="5" t="s">
        <v>132</v>
      </c>
      <c r="B17" s="5" t="s">
        <v>133</v>
      </c>
      <c r="C17" s="5" t="s">
        <v>134</v>
      </c>
      <c r="D17" s="5" t="s">
        <v>135</v>
      </c>
      <c r="E17" s="5" t="s">
        <v>136</v>
      </c>
      <c r="F17" s="5" t="s">
        <v>137</v>
      </c>
      <c r="G17" s="5" t="s">
        <v>138</v>
      </c>
      <c r="H17" s="6" t="n">
        <v>3</v>
      </c>
      <c r="I17" s="6" t="n">
        <v>2</v>
      </c>
      <c r="J17" s="11" t="n">
        <f aca="false">H17*I17</f>
        <v>6</v>
      </c>
      <c r="K17" s="11" t="str">
        <f aca="false">IF(J17&gt;=16,"Critical",IF(J17&gt;=10,"High",IF(J17&gt;=5,"Medium","Low")))</f>
        <v>Medium</v>
      </c>
      <c r="L17" s="5" t="s">
        <v>139</v>
      </c>
      <c r="M17" s="5" t="s">
        <v>83</v>
      </c>
      <c r="N17" s="5" t="s">
        <v>64</v>
      </c>
      <c r="O17" s="5" t="s">
        <v>140</v>
      </c>
    </row>
    <row r="18" customFormat="false" ht="60" hidden="false" customHeight="true" outlineLevel="0" collapsed="false">
      <c r="A18" s="8" t="s">
        <v>141</v>
      </c>
      <c r="B18" s="8" t="s">
        <v>142</v>
      </c>
      <c r="C18" s="8" t="s">
        <v>143</v>
      </c>
      <c r="D18" s="8" t="s">
        <v>144</v>
      </c>
      <c r="E18" s="8" t="s">
        <v>145</v>
      </c>
      <c r="F18" s="8" t="s">
        <v>146</v>
      </c>
      <c r="G18" s="8" t="s">
        <v>147</v>
      </c>
      <c r="H18" s="9" t="n">
        <v>2</v>
      </c>
      <c r="I18" s="9" t="n">
        <v>3</v>
      </c>
      <c r="J18" s="11" t="n">
        <f aca="false">H18*I18</f>
        <v>6</v>
      </c>
      <c r="K18" s="11" t="str">
        <f aca="false">IF(J18&gt;=16,"Critical",IF(J18&gt;=10,"High",IF(J18&gt;=5,"Medium","Low")))</f>
        <v>Medium</v>
      </c>
      <c r="L18" s="8" t="s">
        <v>148</v>
      </c>
      <c r="M18" s="8" t="s">
        <v>25</v>
      </c>
      <c r="N18" s="8" t="s">
        <v>149</v>
      </c>
      <c r="O18" s="8" t="s">
        <v>150</v>
      </c>
    </row>
    <row r="20" customFormat="false" ht="18" hidden="false" customHeight="true" outlineLevel="0" collapsed="false">
      <c r="A20" s="12" t="s">
        <v>151</v>
      </c>
      <c r="B20" s="13" t="s">
        <v>152</v>
      </c>
      <c r="C20" s="14" t="s">
        <v>153</v>
      </c>
      <c r="D20" s="15" t="s">
        <v>154</v>
      </c>
      <c r="E20" s="16" t="s">
        <v>155</v>
      </c>
    </row>
    <row r="21" customFormat="false" ht="15" hidden="false" customHeight="true" outlineLevel="0" collapsed="false">
      <c r="A21" s="3" t="s">
        <v>156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autoFilter ref="A4:O18"/>
  <mergeCells count="3">
    <mergeCell ref="A1:O1"/>
    <mergeCell ref="A2:O2"/>
    <mergeCell ref="A21:O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6"/>
    <col collapsed="false" customWidth="true" hidden="false" outlineLevel="0" max="7" min="3" style="1" width="14"/>
  </cols>
  <sheetData>
    <row r="1" customFormat="false" ht="27.75" hidden="false" customHeight="true" outlineLevel="0" collapsed="false">
      <c r="A1" s="2" t="s">
        <v>157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B4" s="17" t="s">
        <v>159</v>
      </c>
      <c r="C4" s="17" t="s">
        <v>160</v>
      </c>
      <c r="D4" s="17" t="s">
        <v>161</v>
      </c>
      <c r="E4" s="17" t="s">
        <v>162</v>
      </c>
      <c r="F4" s="17" t="s">
        <v>163</v>
      </c>
      <c r="G4" s="17" t="s">
        <v>164</v>
      </c>
    </row>
    <row r="5" customFormat="false" ht="60" hidden="false" customHeight="true" outlineLevel="0" collapsed="false">
      <c r="B5" s="17" t="s">
        <v>165</v>
      </c>
      <c r="C5" s="18"/>
      <c r="D5" s="19" t="s">
        <v>46</v>
      </c>
      <c r="E5" s="19"/>
      <c r="F5" s="20" t="s">
        <v>17</v>
      </c>
      <c r="G5" s="20"/>
    </row>
    <row r="6" customFormat="false" ht="60" hidden="false" customHeight="true" outlineLevel="0" collapsed="false">
      <c r="B6" s="17" t="s">
        <v>166</v>
      </c>
      <c r="C6" s="21"/>
      <c r="D6" s="18" t="s">
        <v>167</v>
      </c>
      <c r="E6" s="19" t="s">
        <v>168</v>
      </c>
      <c r="F6" s="20" t="s">
        <v>56</v>
      </c>
      <c r="G6" s="20"/>
    </row>
    <row r="7" customFormat="false" ht="60" hidden="false" customHeight="true" outlineLevel="0" collapsed="false">
      <c r="B7" s="17" t="s">
        <v>169</v>
      </c>
      <c r="C7" s="21"/>
      <c r="D7" s="18" t="s">
        <v>141</v>
      </c>
      <c r="E7" s="18" t="s">
        <v>76</v>
      </c>
      <c r="F7" s="19" t="s">
        <v>94</v>
      </c>
      <c r="G7" s="19"/>
    </row>
    <row r="8" customFormat="false" ht="60" hidden="false" customHeight="true" outlineLevel="0" collapsed="false">
      <c r="B8" s="17" t="s">
        <v>170</v>
      </c>
      <c r="C8" s="21"/>
      <c r="D8" s="21"/>
      <c r="E8" s="18" t="s">
        <v>132</v>
      </c>
      <c r="F8" s="18"/>
      <c r="G8" s="19"/>
    </row>
    <row r="9" customFormat="false" ht="60" hidden="false" customHeight="true" outlineLevel="0" collapsed="false">
      <c r="B9" s="17" t="s">
        <v>171</v>
      </c>
      <c r="C9" s="21"/>
      <c r="D9" s="21"/>
      <c r="E9" s="21"/>
      <c r="F9" s="21"/>
      <c r="G9" s="18"/>
    </row>
    <row r="12" customFormat="false" ht="15" hidden="false" customHeight="true" outlineLevel="0" collapsed="false">
      <c r="B12" s="22" t="s">
        <v>172</v>
      </c>
    </row>
    <row r="13" customFormat="false" ht="15" hidden="false" customHeight="true" outlineLevel="0" collapsed="false">
      <c r="B13" s="23" t="s">
        <v>17</v>
      </c>
      <c r="C13" s="24" t="s">
        <v>173</v>
      </c>
      <c r="D13" s="24"/>
      <c r="E13" s="24"/>
      <c r="F13" s="24"/>
      <c r="G13" s="24"/>
      <c r="H13" s="24"/>
    </row>
    <row r="14" customFormat="false" ht="15" hidden="false" customHeight="true" outlineLevel="0" collapsed="false">
      <c r="B14" s="23" t="s">
        <v>28</v>
      </c>
      <c r="C14" s="24" t="s">
        <v>174</v>
      </c>
      <c r="D14" s="24"/>
      <c r="E14" s="24"/>
      <c r="F14" s="24"/>
      <c r="G14" s="24"/>
      <c r="H14" s="24"/>
    </row>
    <row r="15" customFormat="false" ht="15" hidden="false" customHeight="true" outlineLevel="0" collapsed="false">
      <c r="B15" s="23" t="s">
        <v>38</v>
      </c>
      <c r="C15" s="24" t="s">
        <v>175</v>
      </c>
      <c r="D15" s="24"/>
      <c r="E15" s="24"/>
      <c r="F15" s="24"/>
      <c r="G15" s="24"/>
      <c r="H15" s="24"/>
    </row>
    <row r="16" customFormat="false" ht="15" hidden="false" customHeight="true" outlineLevel="0" collapsed="false">
      <c r="B16" s="23" t="s">
        <v>46</v>
      </c>
      <c r="C16" s="24" t="s">
        <v>176</v>
      </c>
      <c r="D16" s="24"/>
      <c r="E16" s="24"/>
      <c r="F16" s="24"/>
      <c r="G16" s="24"/>
      <c r="H16" s="24"/>
    </row>
    <row r="17" customFormat="false" ht="15" hidden="false" customHeight="true" outlineLevel="0" collapsed="false">
      <c r="B17" s="23" t="s">
        <v>56</v>
      </c>
      <c r="C17" s="24" t="s">
        <v>177</v>
      </c>
      <c r="D17" s="24"/>
      <c r="E17" s="24"/>
      <c r="F17" s="24"/>
      <c r="G17" s="24"/>
      <c r="H17" s="24"/>
    </row>
    <row r="18" customFormat="false" ht="15" hidden="false" customHeight="true" outlineLevel="0" collapsed="false">
      <c r="B18" s="23" t="s">
        <v>66</v>
      </c>
      <c r="C18" s="24" t="s">
        <v>178</v>
      </c>
      <c r="D18" s="24"/>
      <c r="E18" s="24"/>
      <c r="F18" s="24"/>
      <c r="G18" s="24"/>
      <c r="H18" s="24"/>
    </row>
    <row r="19" customFormat="false" ht="15" hidden="false" customHeight="true" outlineLevel="0" collapsed="false">
      <c r="B19" s="23" t="s">
        <v>76</v>
      </c>
      <c r="C19" s="24" t="s">
        <v>179</v>
      </c>
      <c r="D19" s="24"/>
      <c r="E19" s="24"/>
      <c r="F19" s="24"/>
      <c r="G19" s="24"/>
      <c r="H19" s="24"/>
    </row>
    <row r="20" customFormat="false" ht="15" hidden="false" customHeight="true" outlineLevel="0" collapsed="false">
      <c r="B20" s="23" t="s">
        <v>85</v>
      </c>
      <c r="C20" s="24" t="s">
        <v>180</v>
      </c>
      <c r="D20" s="24"/>
      <c r="E20" s="24"/>
      <c r="F20" s="24"/>
      <c r="G20" s="24"/>
      <c r="H20" s="24"/>
    </row>
    <row r="21" customFormat="false" ht="15" hidden="false" customHeight="true" outlineLevel="0" collapsed="false">
      <c r="B21" s="23" t="s">
        <v>94</v>
      </c>
      <c r="C21" s="24" t="s">
        <v>181</v>
      </c>
      <c r="D21" s="24"/>
      <c r="E21" s="24"/>
      <c r="F21" s="24"/>
      <c r="G21" s="24"/>
      <c r="H21" s="24"/>
    </row>
    <row r="22" customFormat="false" ht="15" hidden="false" customHeight="true" outlineLevel="0" collapsed="false">
      <c r="B22" s="23" t="s">
        <v>104</v>
      </c>
      <c r="C22" s="24" t="s">
        <v>182</v>
      </c>
      <c r="D22" s="24"/>
      <c r="E22" s="24"/>
      <c r="F22" s="24"/>
      <c r="G22" s="24"/>
      <c r="H22" s="24"/>
    </row>
    <row r="23" customFormat="false" ht="15" hidden="false" customHeight="true" outlineLevel="0" collapsed="false">
      <c r="B23" s="23" t="s">
        <v>114</v>
      </c>
      <c r="C23" s="24" t="s">
        <v>183</v>
      </c>
      <c r="D23" s="24"/>
      <c r="E23" s="24"/>
      <c r="F23" s="24"/>
      <c r="G23" s="24"/>
      <c r="H23" s="24"/>
    </row>
    <row r="24" customFormat="false" ht="15" hidden="false" customHeight="true" outlineLevel="0" collapsed="false">
      <c r="B24" s="23" t="s">
        <v>123</v>
      </c>
      <c r="C24" s="24" t="s">
        <v>184</v>
      </c>
      <c r="D24" s="24"/>
      <c r="E24" s="24"/>
      <c r="F24" s="24"/>
      <c r="G24" s="24"/>
      <c r="H24" s="24"/>
    </row>
    <row r="25" customFormat="false" ht="15" hidden="false" customHeight="true" outlineLevel="0" collapsed="false">
      <c r="B25" s="23" t="s">
        <v>132</v>
      </c>
      <c r="C25" s="24" t="s">
        <v>185</v>
      </c>
      <c r="D25" s="24"/>
      <c r="E25" s="24"/>
      <c r="F25" s="24"/>
      <c r="G25" s="24"/>
      <c r="H25" s="24"/>
    </row>
    <row r="26" customFormat="false" ht="15" hidden="false" customHeight="true" outlineLevel="0" collapsed="false">
      <c r="B26" s="23" t="s">
        <v>141</v>
      </c>
      <c r="C26" s="24" t="s">
        <v>186</v>
      </c>
      <c r="D26" s="24"/>
      <c r="E26" s="24"/>
      <c r="F26" s="24"/>
      <c r="G26" s="24"/>
      <c r="H26" s="24"/>
    </row>
    <row r="28" customFormat="false" ht="23.25" hidden="false" customHeight="true" outlineLevel="0" collapsed="false">
      <c r="B28" s="25" t="s">
        <v>187</v>
      </c>
      <c r="C28" s="25"/>
      <c r="D28" s="25"/>
      <c r="E28" s="25"/>
      <c r="F28" s="25"/>
      <c r="G28" s="25"/>
      <c r="H28" s="25"/>
    </row>
  </sheetData>
  <mergeCells count="17">
    <mergeCell ref="A1:H1"/>
    <mergeCell ref="A2:H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2" t="s">
        <v>188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6" t="s">
        <v>189</v>
      </c>
      <c r="B2" s="26"/>
      <c r="C2" s="26"/>
      <c r="D2" s="26"/>
      <c r="E2" s="26"/>
      <c r="F2" s="26"/>
      <c r="G2" s="26"/>
      <c r="H2" s="26"/>
    </row>
    <row r="4" customFormat="false" ht="30" hidden="false" customHeight="true" outlineLevel="0" collapsed="false">
      <c r="A4" s="4" t="s">
        <v>2</v>
      </c>
      <c r="B4" s="4" t="s">
        <v>190</v>
      </c>
      <c r="C4" s="4" t="s">
        <v>191</v>
      </c>
      <c r="D4" s="4" t="s">
        <v>192</v>
      </c>
      <c r="E4" s="4" t="s">
        <v>193</v>
      </c>
      <c r="F4" s="4" t="s">
        <v>194</v>
      </c>
      <c r="G4" s="4" t="s">
        <v>195</v>
      </c>
      <c r="H4" s="4" t="s">
        <v>12</v>
      </c>
    </row>
    <row r="5" customFormat="false" ht="54.75" hidden="false" customHeight="true" outlineLevel="0" collapsed="false">
      <c r="A5" s="27" t="s">
        <v>17</v>
      </c>
      <c r="B5" s="5" t="s">
        <v>196</v>
      </c>
      <c r="C5" s="28" t="s">
        <v>197</v>
      </c>
      <c r="D5" s="5" t="s">
        <v>198</v>
      </c>
      <c r="E5" s="5" t="s">
        <v>199</v>
      </c>
      <c r="F5" s="5" t="s">
        <v>200</v>
      </c>
      <c r="G5" s="5" t="s">
        <v>201</v>
      </c>
      <c r="H5" s="7" t="s">
        <v>202</v>
      </c>
    </row>
    <row r="6" customFormat="false" ht="54.75" hidden="false" customHeight="true" outlineLevel="0" collapsed="false">
      <c r="A6" s="27" t="s">
        <v>28</v>
      </c>
      <c r="B6" s="8" t="s">
        <v>203</v>
      </c>
      <c r="C6" s="28" t="s">
        <v>197</v>
      </c>
      <c r="D6" s="8" t="s">
        <v>204</v>
      </c>
      <c r="E6" s="8" t="s">
        <v>205</v>
      </c>
      <c r="F6" s="8" t="s">
        <v>206</v>
      </c>
      <c r="G6" s="8" t="s">
        <v>207</v>
      </c>
      <c r="H6" s="10" t="s">
        <v>208</v>
      </c>
    </row>
    <row r="7" customFormat="false" ht="54.75" hidden="false" customHeight="true" outlineLevel="0" collapsed="false">
      <c r="A7" s="27" t="s">
        <v>38</v>
      </c>
      <c r="B7" s="5" t="s">
        <v>209</v>
      </c>
      <c r="C7" s="28" t="s">
        <v>197</v>
      </c>
      <c r="D7" s="5" t="s">
        <v>210</v>
      </c>
      <c r="E7" s="5" t="s">
        <v>211</v>
      </c>
      <c r="F7" s="5" t="s">
        <v>212</v>
      </c>
      <c r="G7" s="5" t="s">
        <v>201</v>
      </c>
      <c r="H7" s="10" t="s">
        <v>208</v>
      </c>
    </row>
    <row r="8" customFormat="false" ht="54.75" hidden="false" customHeight="true" outlineLevel="0" collapsed="false">
      <c r="A8" s="27" t="s">
        <v>46</v>
      </c>
      <c r="B8" s="8" t="s">
        <v>213</v>
      </c>
      <c r="C8" s="28" t="s">
        <v>197</v>
      </c>
      <c r="D8" s="8" t="s">
        <v>214</v>
      </c>
      <c r="E8" s="8" t="s">
        <v>215</v>
      </c>
      <c r="F8" s="8" t="s">
        <v>216</v>
      </c>
      <c r="G8" s="8" t="s">
        <v>201</v>
      </c>
      <c r="H8" s="10" t="s">
        <v>208</v>
      </c>
    </row>
    <row r="9" customFormat="false" ht="54.75" hidden="false" customHeight="true" outlineLevel="0" collapsed="false">
      <c r="A9" s="27" t="s">
        <v>56</v>
      </c>
      <c r="B9" s="5" t="s">
        <v>177</v>
      </c>
      <c r="C9" s="29" t="s">
        <v>217</v>
      </c>
      <c r="D9" s="5" t="s">
        <v>218</v>
      </c>
      <c r="E9" s="5" t="s">
        <v>219</v>
      </c>
      <c r="F9" s="5" t="s">
        <v>220</v>
      </c>
      <c r="G9" s="5" t="s">
        <v>201</v>
      </c>
      <c r="H9" s="7" t="s">
        <v>202</v>
      </c>
    </row>
    <row r="10" customFormat="false" ht="54.75" hidden="false" customHeight="true" outlineLevel="0" collapsed="false">
      <c r="A10" s="27" t="s">
        <v>66</v>
      </c>
      <c r="B10" s="8" t="s">
        <v>178</v>
      </c>
      <c r="C10" s="30" t="s">
        <v>143</v>
      </c>
      <c r="D10" s="8" t="s">
        <v>221</v>
      </c>
      <c r="E10" s="8" t="s">
        <v>222</v>
      </c>
      <c r="F10" s="8" t="s">
        <v>223</v>
      </c>
      <c r="G10" s="8" t="s">
        <v>201</v>
      </c>
      <c r="H10" s="10" t="s">
        <v>208</v>
      </c>
    </row>
    <row r="11" customFormat="false" ht="54.75" hidden="false" customHeight="true" outlineLevel="0" collapsed="false">
      <c r="A11" s="27" t="s">
        <v>76</v>
      </c>
      <c r="B11" s="5" t="s">
        <v>179</v>
      </c>
      <c r="C11" s="30" t="s">
        <v>143</v>
      </c>
      <c r="D11" s="5" t="s">
        <v>224</v>
      </c>
      <c r="E11" s="5" t="s">
        <v>225</v>
      </c>
      <c r="F11" s="5" t="s">
        <v>226</v>
      </c>
      <c r="G11" s="5" t="s">
        <v>207</v>
      </c>
      <c r="H11" s="11" t="s">
        <v>227</v>
      </c>
    </row>
    <row r="12" customFormat="false" ht="54.75" hidden="false" customHeight="true" outlineLevel="0" collapsed="false">
      <c r="A12" s="27" t="s">
        <v>85</v>
      </c>
      <c r="B12" s="8" t="s">
        <v>180</v>
      </c>
      <c r="C12" s="31" t="s">
        <v>228</v>
      </c>
      <c r="D12" s="8" t="s">
        <v>229</v>
      </c>
      <c r="E12" s="8" t="s">
        <v>230</v>
      </c>
      <c r="F12" s="8" t="s">
        <v>231</v>
      </c>
      <c r="G12" s="8" t="s">
        <v>201</v>
      </c>
      <c r="H12" s="10" t="s">
        <v>208</v>
      </c>
    </row>
    <row r="13" customFormat="false" ht="54.75" hidden="false" customHeight="true" outlineLevel="0" collapsed="false">
      <c r="A13" s="27" t="s">
        <v>94</v>
      </c>
      <c r="B13" s="5" t="s">
        <v>181</v>
      </c>
      <c r="C13" s="29" t="s">
        <v>217</v>
      </c>
      <c r="D13" s="5" t="s">
        <v>232</v>
      </c>
      <c r="E13" s="5" t="s">
        <v>233</v>
      </c>
      <c r="F13" s="5" t="s">
        <v>234</v>
      </c>
      <c r="G13" s="5" t="s">
        <v>201</v>
      </c>
      <c r="H13" s="10" t="s">
        <v>208</v>
      </c>
    </row>
    <row r="14" customFormat="false" ht="54.75" hidden="false" customHeight="true" outlineLevel="0" collapsed="false">
      <c r="A14" s="27" t="s">
        <v>104</v>
      </c>
      <c r="B14" s="8" t="s">
        <v>182</v>
      </c>
      <c r="C14" s="29" t="s">
        <v>217</v>
      </c>
      <c r="D14" s="8" t="s">
        <v>235</v>
      </c>
      <c r="E14" s="8" t="s">
        <v>236</v>
      </c>
      <c r="F14" s="8" t="s">
        <v>237</v>
      </c>
      <c r="G14" s="8" t="s">
        <v>207</v>
      </c>
      <c r="H14" s="11" t="s">
        <v>227</v>
      </c>
    </row>
    <row r="15" customFormat="false" ht="54.75" hidden="false" customHeight="true" outlineLevel="0" collapsed="false">
      <c r="A15" s="27" t="s">
        <v>114</v>
      </c>
      <c r="B15" s="5" t="s">
        <v>183</v>
      </c>
      <c r="C15" s="29" t="s">
        <v>217</v>
      </c>
      <c r="D15" s="5" t="s">
        <v>238</v>
      </c>
      <c r="E15" s="5" t="s">
        <v>239</v>
      </c>
      <c r="F15" s="5" t="s">
        <v>240</v>
      </c>
      <c r="G15" s="5" t="s">
        <v>201</v>
      </c>
      <c r="H15" s="11" t="s">
        <v>227</v>
      </c>
    </row>
    <row r="16" customFormat="false" ht="54.75" hidden="false" customHeight="true" outlineLevel="0" collapsed="false">
      <c r="A16" s="27" t="s">
        <v>123</v>
      </c>
      <c r="B16" s="8" t="s">
        <v>184</v>
      </c>
      <c r="C16" s="28" t="s">
        <v>197</v>
      </c>
      <c r="D16" s="8" t="s">
        <v>241</v>
      </c>
      <c r="E16" s="8" t="s">
        <v>242</v>
      </c>
      <c r="F16" s="8" t="s">
        <v>243</v>
      </c>
      <c r="G16" s="8" t="s">
        <v>201</v>
      </c>
      <c r="H16" s="10" t="s">
        <v>208</v>
      </c>
    </row>
    <row r="17" customFormat="false" ht="54.75" hidden="false" customHeight="true" outlineLevel="0" collapsed="false">
      <c r="A17" s="27" t="s">
        <v>132</v>
      </c>
      <c r="B17" s="5" t="s">
        <v>185</v>
      </c>
      <c r="C17" s="29" t="s">
        <v>217</v>
      </c>
      <c r="D17" s="5" t="s">
        <v>244</v>
      </c>
      <c r="E17" s="5" t="s">
        <v>245</v>
      </c>
      <c r="F17" s="5" t="s">
        <v>246</v>
      </c>
      <c r="G17" s="5" t="s">
        <v>201</v>
      </c>
      <c r="H17" s="11" t="s">
        <v>227</v>
      </c>
    </row>
    <row r="18" customFormat="false" ht="54.75" hidden="false" customHeight="true" outlineLevel="0" collapsed="false">
      <c r="A18" s="27" t="s">
        <v>141</v>
      </c>
      <c r="B18" s="8" t="s">
        <v>186</v>
      </c>
      <c r="C18" s="29" t="s">
        <v>217</v>
      </c>
      <c r="D18" s="8" t="s">
        <v>247</v>
      </c>
      <c r="E18" s="8" t="s">
        <v>248</v>
      </c>
      <c r="F18" s="8" t="s">
        <v>249</v>
      </c>
      <c r="G18" s="8" t="s">
        <v>201</v>
      </c>
      <c r="H18" s="11" t="s">
        <v>227</v>
      </c>
    </row>
    <row r="20" customFormat="false" ht="18" hidden="false" customHeight="true" outlineLevel="0" collapsed="false">
      <c r="A20" s="32" t="s">
        <v>250</v>
      </c>
      <c r="B20" s="33" t="s">
        <v>217</v>
      </c>
      <c r="C20" s="34" t="s">
        <v>143</v>
      </c>
      <c r="D20" s="35" t="s">
        <v>228</v>
      </c>
      <c r="E20" s="36" t="s">
        <v>197</v>
      </c>
    </row>
    <row r="22" customFormat="false" ht="23.85" hidden="false" customHeight="true" outlineLevel="0" collapsed="false">
      <c r="A22" s="25" t="s">
        <v>251</v>
      </c>
      <c r="B22" s="25"/>
      <c r="C22" s="25"/>
      <c r="D22" s="25"/>
      <c r="E22" s="25"/>
      <c r="F22" s="25"/>
      <c r="G22" s="25"/>
      <c r="H22" s="25"/>
    </row>
  </sheetData>
  <autoFilter ref="A4:H18"/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2026-08-15T02:55:32Z</dcterms:created>
  <dc:creator>openpyxl</dc:creator>
  <dc:description/>
  <dc:language>en-US</dc:language>
  <cp:lastModifiedBy/>
  <dcterms:modified xsi:type="dcterms:W3CDTF">2026-08-15T03:04:22Z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